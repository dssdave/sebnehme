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Tax &amp; Cost Model" sheetId="3" state="visible" r:id="rId5"/>
    <sheet name="10-Year 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<sst xmlns="http://schemas.openxmlformats.org/spreadsheetml/2006/main" count="48" uniqueCount="48">
  <si>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Cayman Islands Relocation Financial Model</t>
  </si>
  <si>
    <t xml:space="preserve">Built by Seb Nehme Consultancy — sebnehmeconsultancy.example</t>
  </si>
  <si>
    <t xml:space="preserve">How to use this model</t>
  </si>
  <si>
    <t xml:space="preserve">1. Go to the "Inputs" tab and enter your annual income, home country, and household details (blue cells only).</t>
  </si>
  <si>
    <t xml:space="preserve">2. The "Tax &amp; Cost Model" tab automatically calculates your estimated home-country tax, Cayman tax (0%), and monthly cost of living.</t>
  </si>
  <si>
    <t xml:space="preserve">3. The "10-Year Projection" tab shows what those annual savings could grow into over a decade, both unreinvested and reinvested at a hypothetical rate you control.</t>
  </si>
  <si>
    <t xml:space="preserve">4. Change any blue input cell and every formula in the workbook updates automatically.</t>
  </si>
  <si>
    <t xml:space="preserve">Important disclaimer</t>
  </si>
  <si>
    <t xml:space="preserve">This model uses approximate top marginal tax rates and general market data for illustrative purposes only. It does not account for citizenship-based taxation (U.S.), exit taxes, deductions, treaties, deductions, or your specific financial structure. It is not tax, legal, or financial advice. Talk to Seb and a licensed professional before making any decisions.</t>
  </si>
  <si>
    <t xml:space="preserve">Questions about your specific numbers? Message Seb directly on WhatsApp: https://wa.me/13455550134</t>
  </si>
  <si>
    <t xml:space="preserve">Your Inputs</t>
  </si>
  <si>
    <t xml:space="preserve">Edit the blue cells. Everything else updates automatically.</t>
  </si>
  <si>
    <t xml:space="preserve">Annual Income (USD)</t>
  </si>
  <si>
    <t xml:space="preserve">Your current gross annual income.</t>
  </si>
  <si>
    <t xml:space="preserve">Home Country Marginal Tax Rate</t>
  </si>
  <si>
    <t xml:space="preserve">Approximate top marginal rate: US 42%, Canada 53%, UK 47%, Other 40% (edit if you know your actual rate).</t>
  </si>
  <si>
    <t xml:space="preserve">Household Size</t>
  </si>
  <si>
    <t xml:space="preserve">1 = just you, 2 = couple, 4 = family of four (used for cost-of-living estimate).</t>
  </si>
  <si>
    <t xml:space="preserve">Est. Monthly Housing (USD)</t>
  </si>
  <si>
    <t xml:space="preserve">Modern condo ~3,200 / Beachfront villa ~4,500 / Luxury estate ~9,000.</t>
  </si>
  <si>
    <t xml:space="preserve">Est. Monthly Living Expenses (USD)</t>
  </si>
  <si>
    <t xml:space="preserve">Groceries, utilities, transport, dining — scales with household size.</t>
  </si>
  <si>
    <t xml:space="preserve">One-Time Company Setup Cost (USD)</t>
  </si>
  <si>
    <t xml:space="preserve">Typical Cayman exempted company formation + first-year registered office/agent fees.</t>
  </si>
  <si>
    <t xml:space="preserve">Reinvestment Growth Rate (Hypothetical)</t>
  </si>
  <si>
    <t xml:space="preserve">Hypothetical average annual return if annual tax savings were reinvested. Not a projection or guarantee.</t>
  </si>
  <si>
    <t xml:space="preserve">Projection Horizon (Years)</t>
  </si>
  <si>
    <t xml:space="preserve">How many years forward to project.</t>
  </si>
  <si>
    <t xml:space="preserve">Tax &amp; Cost of Living Model</t>
  </si>
  <si>
    <t xml:space="preserve">Tax Comparison</t>
  </si>
  <si>
    <t xml:space="preserve">Est. Home-Country Tax / Year</t>
  </si>
  <si>
    <t xml:space="preserve">Est. Cayman Tax / Year</t>
  </si>
  <si>
    <t xml:space="preserve">Est. Annual Tax Savings</t>
  </si>
  <si>
    <t xml:space="preserve">Monthly Cost of Living in Cayman</t>
  </si>
  <si>
    <t xml:space="preserve">Monthly Housing</t>
  </si>
  <si>
    <t xml:space="preserve">Monthly Living Expenses</t>
  </si>
  <si>
    <t xml:space="preserve">Est. Monthly Total</t>
  </si>
  <si>
    <t xml:space="preserve">One-Time Company Setup Cost</t>
  </si>
  <si>
    <t xml:space="preserve">Net Position</t>
  </si>
  <si>
    <t xml:space="preserve">Annual Tax Savings Minus Annual Cost of Living Increase*</t>
  </si>
  <si>
    <t xml:space="preserve">*Illustrative only — assumes your Cayman cost of living is fully incremental; your actual comparison should net out what you already spend at home.</t>
  </si>
  <si>
    <t xml:space="preserve">10-Year Wealth Impact Projection</t>
  </si>
  <si>
    <t xml:space="preserve">Hypothetical illustration only. Assumes constant annual tax savings and, in the "Reinvested" column, a constant hypothetical annual return. Not a guarantee or investment advice.</t>
  </si>
  <si>
    <t xml:space="preserve">Year</t>
  </si>
  <si>
    <t xml:space="preserve">Annual Savings</t>
  </si>
  <si>
    <t xml:space="preserve">Cumulative (Not Invested)</t>
  </si>
  <si>
    <t xml:space="preserve">Cumulative (Reinvested)</t>
  </si>
  <si>
    <t xml:space="preserve">Total After 10 Years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</si>
</sst>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211D"/>
      <name val="Arial"/>
      <family val="0"/>
      <charset val="1"/>
    </font>
    <font>
      <i val="true"/>
      <sz val="11"/>
      <color rgb="FF2F8F7D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CDA15B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211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DA15B"/>
      <rgbColor rgb="FF003366"/>
      <rgbColor rgb="FF2F8F7D"/>
      <rgbColor rgb="FF0D21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27.75" hidden="false" customHeight="true" outlineLevel="0" collapsed="false">
      <c r="B7" s="4" t="s">
        <v>3</v>
      </c>
    </row>
    <row r="8" customFormat="false" ht="27.75" hidden="false" customHeight="true" outlineLevel="0" collapsed="false">
      <c r="B8" s="4" t="s">
        <v>4</v>
      </c>
    </row>
    <row r="9" customFormat="false" ht="27.75" hidden="false" customHeight="true" outlineLevel="0" collapsed="false">
      <c r="B9" s="4" t="s">
        <v>5</v>
      </c>
    </row>
    <row r="10" customFormat="false" ht="27.75" hidden="false" customHeight="tru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60" hidden="false" customHeight="true" outlineLevel="0" collapsed="false">
      <c r="B13" s="5" t="s">
        <v>8</v>
      </c>
    </row>
    <row r="15" customFormat="false" ht="15" hidden="false" customHeight="false" outlineLevel="0" collapsed="false">
      <c r="B15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5"/>
  </cols>
  <sheetData>
    <row r="2" customFormat="false" ht="19.7" hidden="false" customHeight="false" outlineLevel="0" collapsed="false">
      <c r="B2" s="1" t="s">
        <v>10</v>
      </c>
      <c r="D2" s="7" t="s">
        <v>11</v>
      </c>
    </row>
    <row r="5" customFormat="false" ht="15" hidden="false" customHeight="false" outlineLevel="0" collapsed="false">
      <c r="B5" s="8" t="s">
        <v>12</v>
      </c>
      <c r="C5" s="9" t="n">
        <v>250000</v>
      </c>
      <c r="D5" s="10" t="s">
        <v>13</v>
      </c>
    </row>
    <row r="6" customFormat="false" ht="22.35" hidden="false" customHeight="false" outlineLevel="0" collapsed="false">
      <c r="B6" s="8" t="s">
        <v>14</v>
      </c>
      <c r="C6" s="11" t="n">
        <v>0.42</v>
      </c>
      <c r="D6" s="10" t="s">
        <v>15</v>
      </c>
    </row>
    <row r="7" customFormat="false" ht="22.35" hidden="false" customHeight="false" outlineLevel="0" collapsed="false">
      <c r="B7" s="8" t="s">
        <v>16</v>
      </c>
      <c r="C7" s="12" t="n">
        <v>2</v>
      </c>
      <c r="D7" s="10" t="s">
        <v>17</v>
      </c>
    </row>
    <row r="8" customFormat="false" ht="22.35" hidden="false" customHeight="false" outlineLevel="0" collapsed="false">
      <c r="B8" s="8" t="s">
        <v>18</v>
      </c>
      <c r="C8" s="9" t="n">
        <v>4500</v>
      </c>
      <c r="D8" s="10" t="s">
        <v>19</v>
      </c>
    </row>
    <row r="9" customFormat="false" ht="22.35" hidden="false" customHeight="false" outlineLevel="0" collapsed="false">
      <c r="B9" s="8" t="s">
        <v>20</v>
      </c>
      <c r="C9" s="9" t="n">
        <v>2800</v>
      </c>
      <c r="D9" s="10" t="s">
        <v>21</v>
      </c>
    </row>
    <row r="10" customFormat="false" ht="22.35" hidden="false" customHeight="false" outlineLevel="0" collapsed="false">
      <c r="B10" s="8" t="s">
        <v>22</v>
      </c>
      <c r="C10" s="9" t="n">
        <v>4500</v>
      </c>
      <c r="D10" s="10" t="s">
        <v>23</v>
      </c>
    </row>
    <row r="11" customFormat="false" ht="22.35" hidden="false" customHeight="false" outlineLevel="0" collapsed="false">
      <c r="B11" s="8" t="s">
        <v>24</v>
      </c>
      <c r="C11" s="11" t="n">
        <v>0.07</v>
      </c>
      <c r="D11" s="10" t="s">
        <v>25</v>
      </c>
    </row>
    <row r="12" customFormat="false" ht="15" hidden="false" customHeight="false" outlineLevel="0" collapsed="false">
      <c r="B12" s="8" t="s">
        <v>26</v>
      </c>
      <c r="C12" s="12" t="n">
        <v>10</v>
      </c>
      <c r="D12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5"/>
  </cols>
  <sheetData>
    <row r="2" customFormat="false" ht="19.7" hidden="false" customHeight="false" outlineLevel="0" collapsed="false">
      <c r="B2" s="1" t="s">
        <v>28</v>
      </c>
    </row>
    <row r="4" customFormat="false" ht="15" hidden="false" customHeight="false" outlineLevel="0" collapsed="false">
      <c r="B4" s="3" t="s">
        <v>29</v>
      </c>
    </row>
    <row r="5" customFormat="false" ht="15" hidden="false" customHeight="false" outlineLevel="0" collapsed="false">
      <c r="B5" s="8" t="s">
        <v>30</v>
      </c>
      <c r="C5" s="13" t="n">
        <f aca="false">Inputs!C5*Inputs!C6</f>
        <v>105000</v>
      </c>
    </row>
    <row r="6" customFormat="false" ht="15" hidden="false" customHeight="false" outlineLevel="0" collapsed="false">
      <c r="B6" s="8" t="s">
        <v>31</v>
      </c>
      <c r="C6" s="14" t="n">
        <v>0</v>
      </c>
    </row>
    <row r="7" customFormat="false" ht="15" hidden="false" customHeight="false" outlineLevel="0" collapsed="false">
      <c r="B7" s="3" t="s">
        <v>32</v>
      </c>
      <c r="C7" s="15" t="n">
        <f aca="false">C5-C6</f>
        <v>105000</v>
      </c>
    </row>
    <row r="9" customFormat="false" ht="15" hidden="false" customHeight="false" outlineLevel="0" collapsed="false">
      <c r="B9" s="3" t="s">
        <v>33</v>
      </c>
    </row>
    <row r="10" customFormat="false" ht="15" hidden="false" customHeight="false" outlineLevel="0" collapsed="false">
      <c r="B10" s="8" t="s">
        <v>34</v>
      </c>
      <c r="C10" s="13" t="n">
        <f aca="false">Inputs!C8</f>
        <v>4500</v>
      </c>
    </row>
    <row r="11" customFormat="false" ht="15" hidden="false" customHeight="false" outlineLevel="0" collapsed="false">
      <c r="B11" s="8" t="s">
        <v>35</v>
      </c>
      <c r="C11" s="13" t="n">
        <f aca="false">Inputs!C9</f>
        <v>2800</v>
      </c>
    </row>
    <row r="12" customFormat="false" ht="15" hidden="false" customHeight="false" outlineLevel="0" collapsed="false">
      <c r="B12" s="3" t="s">
        <v>36</v>
      </c>
      <c r="C12" s="15" t="n">
        <f aca="false">C10+C11</f>
        <v>7300</v>
      </c>
    </row>
    <row r="13" customFormat="false" ht="15" hidden="false" customHeight="false" outlineLevel="0" collapsed="false">
      <c r="B13" s="8" t="s">
        <v>37</v>
      </c>
      <c r="C13" s="13" t="n">
        <f aca="false">Inputs!C10</f>
        <v>4500</v>
      </c>
    </row>
    <row r="15" customFormat="false" ht="15" hidden="false" customHeight="false" outlineLevel="0" collapsed="false">
      <c r="B15" s="3" t="s">
        <v>38</v>
      </c>
    </row>
    <row r="16" customFormat="false" ht="27.75" hidden="false" customHeight="true" outlineLevel="0" collapsed="false">
      <c r="B16" s="8" t="s">
        <v>39</v>
      </c>
      <c r="C16" s="15" t="n">
        <f aca="false">C7-(C12*12)</f>
        <v>17400</v>
      </c>
      <c r="D16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0"/>
  </cols>
  <sheetData>
    <row r="2" customFormat="false" ht="19.7" hidden="false" customHeight="false" outlineLevel="0" collapsed="false">
      <c r="B2" s="1" t="s">
        <v>41</v>
      </c>
    </row>
    <row r="3" customFormat="false" ht="27.75" hidden="false" customHeight="true" outlineLevel="0" collapsed="false">
      <c r="B3" s="10" t="s">
        <v>42</v>
      </c>
    </row>
    <row r="5" customFormat="false" ht="15" hidden="false" customHeight="false" outlineLevel="0" collapsed="false">
      <c r="B5" s="16" t="s">
        <v>43</v>
      </c>
      <c r="C5" s="16" t="s">
        <v>44</v>
      </c>
      <c r="D5" s="16" t="s">
        <v>45</v>
      </c>
      <c r="E5" s="16" t="s">
        <v>46</v>
      </c>
    </row>
    <row r="6" customFormat="false" ht="15" hidden="false" customHeight="false" outlineLevel="0" collapsed="false">
      <c r="B6" s="17" t="n">
        <v>1</v>
      </c>
      <c r="C6" s="13" t="n">
        <f aca="false">'Tax &amp; Cost Model'!C7</f>
        <v>105000</v>
      </c>
      <c r="D6" s="14" t="n">
        <f aca="false">C6</f>
        <v>105000</v>
      </c>
      <c r="E6" s="14" t="n">
        <f aca="false">C6</f>
        <v>105000</v>
      </c>
    </row>
    <row r="7" customFormat="false" ht="15" hidden="false" customHeight="false" outlineLevel="0" collapsed="false">
      <c r="B7" s="17" t="n">
        <v>2</v>
      </c>
      <c r="C7" s="13" t="n">
        <f aca="false">'Tax &amp; Cost Model'!C7</f>
        <v>105000</v>
      </c>
      <c r="D7" s="14" t="n">
        <f aca="false">D6+C7</f>
        <v>210000</v>
      </c>
      <c r="E7" s="14" t="n">
        <f aca="false">E6*(1+Inputs!C11)+C7</f>
        <v>217350</v>
      </c>
    </row>
    <row r="8" customFormat="false" ht="15" hidden="false" customHeight="false" outlineLevel="0" collapsed="false">
      <c r="B8" s="17" t="n">
        <v>3</v>
      </c>
      <c r="C8" s="13" t="n">
        <f aca="false">'Tax &amp; Cost Model'!C7</f>
        <v>105000</v>
      </c>
      <c r="D8" s="14" t="n">
        <f aca="false">D7+C8</f>
        <v>315000</v>
      </c>
      <c r="E8" s="14" t="n">
        <f aca="false">E7*(1+Inputs!C11)+C8</f>
        <v>337564.5</v>
      </c>
    </row>
    <row r="9" customFormat="false" ht="15" hidden="false" customHeight="false" outlineLevel="0" collapsed="false">
      <c r="B9" s="17" t="n">
        <v>4</v>
      </c>
      <c r="C9" s="13" t="n">
        <f aca="false">'Tax &amp; Cost Model'!C7</f>
        <v>105000</v>
      </c>
      <c r="D9" s="14" t="n">
        <f aca="false">D8+C9</f>
        <v>420000</v>
      </c>
      <c r="E9" s="14" t="n">
        <f aca="false">E8*(1+Inputs!C11)+C9</f>
        <v>466194.015</v>
      </c>
    </row>
    <row r="10" customFormat="false" ht="15" hidden="false" customHeight="false" outlineLevel="0" collapsed="false">
      <c r="B10" s="17" t="n">
        <v>5</v>
      </c>
      <c r="C10" s="13" t="n">
        <f aca="false">'Tax &amp; Cost Model'!C7</f>
        <v>105000</v>
      </c>
      <c r="D10" s="14" t="n">
        <f aca="false">D9+C10</f>
        <v>525000</v>
      </c>
      <c r="E10" s="14" t="n">
        <f aca="false">E9*(1+Inputs!C11)+C10</f>
        <v>603827.59605</v>
      </c>
    </row>
    <row r="11" customFormat="false" ht="15" hidden="false" customHeight="false" outlineLevel="0" collapsed="false">
      <c r="B11" s="17" t="n">
        <v>6</v>
      </c>
      <c r="C11" s="13" t="n">
        <f aca="false">'Tax &amp; Cost Model'!C7</f>
        <v>105000</v>
      </c>
      <c r="D11" s="14" t="n">
        <f aca="false">D10+C11</f>
        <v>630000</v>
      </c>
      <c r="E11" s="14" t="n">
        <f aca="false">E10*(1+Inputs!C11)+C11</f>
        <v>751095.5277735</v>
      </c>
    </row>
    <row r="12" customFormat="false" ht="15" hidden="false" customHeight="false" outlineLevel="0" collapsed="false">
      <c r="B12" s="17" t="n">
        <v>7</v>
      </c>
      <c r="C12" s="13" t="n">
        <f aca="false">'Tax &amp; Cost Model'!C7</f>
        <v>105000</v>
      </c>
      <c r="D12" s="14" t="n">
        <f aca="false">D11+C12</f>
        <v>735000</v>
      </c>
      <c r="E12" s="14" t="n">
        <f aca="false">E11*(1+Inputs!C11)+C12</f>
        <v>908672.214717645</v>
      </c>
    </row>
    <row r="13" customFormat="false" ht="15" hidden="false" customHeight="false" outlineLevel="0" collapsed="false">
      <c r="B13" s="17" t="n">
        <v>8</v>
      </c>
      <c r="C13" s="13" t="n">
        <f aca="false">'Tax &amp; Cost Model'!C7</f>
        <v>105000</v>
      </c>
      <c r="D13" s="14" t="n">
        <f aca="false">D12+C13</f>
        <v>840000</v>
      </c>
      <c r="E13" s="14" t="n">
        <f aca="false">E12*(1+Inputs!C11)+C13</f>
        <v>1077279.26974788</v>
      </c>
    </row>
    <row r="14" customFormat="false" ht="15" hidden="false" customHeight="false" outlineLevel="0" collapsed="false">
      <c r="B14" s="17" t="n">
        <v>9</v>
      </c>
      <c r="C14" s="13" t="n">
        <f aca="false">'Tax &amp; Cost Model'!C7</f>
        <v>105000</v>
      </c>
      <c r="D14" s="14" t="n">
        <f aca="false">D13+C14</f>
        <v>945000</v>
      </c>
      <c r="E14" s="14" t="n">
        <f aca="false">E13*(1+Inputs!C11)+C14</f>
        <v>1257688.81863023</v>
      </c>
    </row>
    <row r="15" customFormat="false" ht="15" hidden="false" customHeight="false" outlineLevel="0" collapsed="false">
      <c r="B15" s="17" t="n">
        <v>10</v>
      </c>
      <c r="C15" s="13" t="n">
        <f aca="false">'Tax &amp; Cost Model'!C7</f>
        <v>105000</v>
      </c>
      <c r="D15" s="14" t="n">
        <f aca="false">D14+C15</f>
        <v>1050000</v>
      </c>
      <c r="E15" s="14" t="n">
        <f aca="false">E14*(1+Inputs!C11)+C15</f>
        <v>1450727.03593435</v>
      </c>
    </row>
    <row r="17" customFormat="false" ht="15" hidden="false" customHeight="false" outlineLevel="0" collapsed="false">
      <c r="B17" s="3" t="s">
        <v>47</v>
      </c>
      <c r="D17" s="15" t="n">
        <f aca="false">D15</f>
        <v>1050000</v>
      </c>
      <c r="E17" s="15" t="n">
        <f aca="false">E15</f>
        <v>1450727.03593435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2026-07-09T20:38:58Z</dcterms:created>
  <dc:creator>openpyxl</dc:creator>
  <dc:description/>
  <dc:language>en-US</dc:language>
  <cp:lastModifiedBy/>
  <dcterms:modified xsi:type="dcterms:W3CDTF">2026-07-09T20:38:58Z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